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ambda\Desktop\TELUQ\Statistiques avec R\TravailNote3\FINAL-RESULTS-LAB\"/>
    </mc:Choice>
  </mc:AlternateContent>
  <xr:revisionPtr revIDLastSave="0" documentId="13_ncr:1_{C193A951-2094-4D47-9A25-687C7D7F1F90}" xr6:coauthVersionLast="47" xr6:coauthVersionMax="47" xr10:uidLastSave="{00000000-0000-0000-0000-000000000000}"/>
  <bookViews>
    <workbookView xWindow="7650" yWindow="2235" windowWidth="28800" windowHeight="152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9" i="1" l="1"/>
  <c r="L40" i="1"/>
  <c r="L39" i="1"/>
  <c r="L38" i="1"/>
  <c r="L37" i="1"/>
  <c r="L36" i="1"/>
  <c r="M36" i="1" s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M2" i="1" s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L48" i="1"/>
  <c r="L47" i="1"/>
  <c r="L46" i="1"/>
  <c r="L45" i="1"/>
  <c r="L44" i="1"/>
  <c r="L43" i="1"/>
  <c r="L42" i="1"/>
  <c r="L41" i="1"/>
</calcChain>
</file>

<file path=xl/sharedStrings.xml><?xml version="1.0" encoding="utf-8"?>
<sst xmlns="http://schemas.openxmlformats.org/spreadsheetml/2006/main" count="109" uniqueCount="27">
  <si>
    <t>bloc</t>
  </si>
  <si>
    <t>traitement</t>
  </si>
  <si>
    <t>cube</t>
  </si>
  <si>
    <t>position</t>
  </si>
  <si>
    <t>L*.t0</t>
  </si>
  <si>
    <t>a*.t0</t>
  </si>
  <si>
    <t>b*.t0</t>
  </si>
  <si>
    <t>P1</t>
  </si>
  <si>
    <t>temoin</t>
  </si>
  <si>
    <t>eau</t>
  </si>
  <si>
    <t>citron</t>
  </si>
  <si>
    <t>vinaigre</t>
  </si>
  <si>
    <t>sel</t>
  </si>
  <si>
    <t>bicarbonate</t>
  </si>
  <si>
    <t>P2</t>
  </si>
  <si>
    <t>P3</t>
  </si>
  <si>
    <t>P4</t>
  </si>
  <si>
    <t>P5</t>
  </si>
  <si>
    <t>P6</t>
  </si>
  <si>
    <t>P7</t>
  </si>
  <si>
    <t>P8</t>
  </si>
  <si>
    <t>L*.t90</t>
  </si>
  <si>
    <t>a*.t90</t>
  </si>
  <si>
    <t>b*.t90</t>
  </si>
  <si>
    <t>BI.t90</t>
  </si>
  <si>
    <t>BI.t0</t>
  </si>
  <si>
    <t>delta.BI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</si>
</sst>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3">
    <xf numFmtId="0" fontId="0" fillId="0" borderId="0" xfId="0"/>
    <xf numFmtId="0" fontId="1" fillId="0" borderId="1" xfId="1"/>
    <xf numFmtId="2" fontId="2" fillId="2" borderId="2" xfId="2" applyNumberFormat="1"/>
  </cellXfs>
  <cellStyles count="3">
    <cellStyle name="Heading 3" xfId="1" builtinId="18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topLeftCell="A16" workbookViewId="0">
      <selection activeCell="L50" sqref="L50"/>
    </sheetView>
  </sheetViews>
  <sheetFormatPr defaultRowHeight="15" x14ac:dyDescent="0.25"/>
  <sheetData>
    <row r="1" spans="1:1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26</v>
      </c>
    </row>
    <row r="2" spans="1:13" x14ac:dyDescent="0.25">
      <c r="A2" t="s">
        <v>7</v>
      </c>
      <c r="B2" t="s">
        <v>8</v>
      </c>
      <c r="C2">
        <v>1</v>
      </c>
      <c r="D2">
        <v>4</v>
      </c>
      <c r="E2">
        <v>88.796999999999997</v>
      </c>
      <c r="F2">
        <v>-1.5549999999999999</v>
      </c>
      <c r="G2">
        <v>33.433</v>
      </c>
      <c r="H2">
        <f>100*((F2+1.75*E2)/(5.645*E2+F2-3.012*G2)-0.31)/0.172</f>
        <v>43.929967753864595</v>
      </c>
      <c r="I2">
        <v>82.385999999999996</v>
      </c>
      <c r="J2">
        <v>0.80400000000000005</v>
      </c>
      <c r="K2">
        <v>39.466000000000001</v>
      </c>
      <c r="L2">
        <f>100*((J2+1.75*I2)/(5.645*I2+J2-3.012*K2)-0.31)/0.172</f>
        <v>62.678312885145083</v>
      </c>
      <c r="M2" s="2">
        <f t="shared" ref="M2:M49" si="0">L2-H2</f>
        <v>18.748345131280487</v>
      </c>
    </row>
    <row r="3" spans="1:13" x14ac:dyDescent="0.25">
      <c r="A3" t="s">
        <v>7</v>
      </c>
      <c r="B3" t="s">
        <v>9</v>
      </c>
      <c r="C3">
        <v>5</v>
      </c>
      <c r="D3">
        <v>1</v>
      </c>
      <c r="E3">
        <v>89.605000000000004</v>
      </c>
      <c r="F3">
        <v>-3.06</v>
      </c>
      <c r="G3">
        <v>32.438000000000002</v>
      </c>
      <c r="H3">
        <f>100*((F3+1.75*E3)/(5.645*E3+F3-3.012*G3)-0.31)/0.172</f>
        <v>40.449506312329653</v>
      </c>
      <c r="I3">
        <v>79.573999999999998</v>
      </c>
      <c r="J3">
        <v>2.798</v>
      </c>
      <c r="K3">
        <v>39.362000000000002</v>
      </c>
      <c r="L3">
        <f>100*((J3+1.75*I3)/(5.645*I3+J3-3.012*K3)-0.31)/0.172</f>
        <v>67.457969331839806</v>
      </c>
      <c r="M3" s="2">
        <f t="shared" si="0"/>
        <v>27.008463019510152</v>
      </c>
    </row>
    <row r="4" spans="1:13" x14ac:dyDescent="0.25">
      <c r="A4" t="s">
        <v>7</v>
      </c>
      <c r="B4" t="s">
        <v>10</v>
      </c>
      <c r="C4">
        <v>8</v>
      </c>
      <c r="D4">
        <v>5</v>
      </c>
      <c r="E4">
        <v>91.641999999999996</v>
      </c>
      <c r="F4">
        <v>-3.593</v>
      </c>
      <c r="G4">
        <v>29.785</v>
      </c>
      <c r="H4">
        <f>100*((F4+1.75*E4)/(5.645*E4+F4-3.012*G4)-0.31)/0.172</f>
        <v>34.740354145043327</v>
      </c>
      <c r="I4">
        <v>90.733999999999995</v>
      </c>
      <c r="J4">
        <v>-4.7770000000000001</v>
      </c>
      <c r="K4">
        <v>26.53</v>
      </c>
      <c r="L4">
        <f>100*((J4+1.75*I4)/(5.645*I4+J4-3.012*K4)-0.31)/0.172</f>
        <v>29.212012546689891</v>
      </c>
      <c r="M4" s="2">
        <f t="shared" si="0"/>
        <v>-5.5283415983534354</v>
      </c>
    </row>
    <row r="5" spans="1:13" x14ac:dyDescent="0.25">
      <c r="A5" t="s">
        <v>7</v>
      </c>
      <c r="B5" t="s">
        <v>11</v>
      </c>
      <c r="C5">
        <v>6</v>
      </c>
      <c r="D5">
        <v>2</v>
      </c>
      <c r="E5">
        <v>85.043000000000006</v>
      </c>
      <c r="F5">
        <v>-3.93</v>
      </c>
      <c r="G5">
        <v>29.58</v>
      </c>
      <c r="H5">
        <f>100*((F5+1.75*E5)/(5.645*E5+F5-3.012*G5)-0.31)/0.172</f>
        <v>37.421483893944888</v>
      </c>
      <c r="I5">
        <v>77.929000000000002</v>
      </c>
      <c r="J5">
        <v>3.4689999999999999</v>
      </c>
      <c r="K5">
        <v>41.173000000000002</v>
      </c>
      <c r="L5">
        <f>100*((J5+1.75*I5)/(5.645*I5+J5-3.012*K5)-0.31)/0.172</f>
        <v>74.350925861632746</v>
      </c>
      <c r="M5" s="2">
        <f t="shared" si="0"/>
        <v>36.929441967687858</v>
      </c>
    </row>
    <row r="6" spans="1:13" x14ac:dyDescent="0.25">
      <c r="A6" t="s">
        <v>7</v>
      </c>
      <c r="B6" t="s">
        <v>12</v>
      </c>
      <c r="C6">
        <v>2</v>
      </c>
      <c r="D6">
        <v>3</v>
      </c>
      <c r="E6">
        <v>88.155000000000001</v>
      </c>
      <c r="F6">
        <v>-3.2509999999999999</v>
      </c>
      <c r="G6">
        <v>30.399000000000001</v>
      </c>
      <c r="H6">
        <f>100*((F6+1.75*E6)/(5.645*E6+F6-3.012*G6)-0.31)/0.172</f>
        <v>37.735750865829218</v>
      </c>
      <c r="I6">
        <v>93.036000000000001</v>
      </c>
      <c r="J6">
        <v>-5.048</v>
      </c>
      <c r="K6">
        <v>29.08</v>
      </c>
      <c r="L6">
        <f>100*((J6+1.75*I6)/(5.645*I6+J6-3.012*K6)-0.31)/0.172</f>
        <v>31.820545599666616</v>
      </c>
      <c r="M6" s="2">
        <f t="shared" si="0"/>
        <v>-5.9152052661626016</v>
      </c>
    </row>
    <row r="7" spans="1:13" x14ac:dyDescent="0.25">
      <c r="A7" t="s">
        <v>7</v>
      </c>
      <c r="B7" t="s">
        <v>13</v>
      </c>
      <c r="C7">
        <v>4</v>
      </c>
      <c r="D7">
        <v>6</v>
      </c>
      <c r="E7">
        <v>89.293999999999997</v>
      </c>
      <c r="F7">
        <v>-3.7469999999999999</v>
      </c>
      <c r="G7">
        <v>29.748000000000001</v>
      </c>
      <c r="H7">
        <f>100*((F7+1.75*E7)/(5.645*E7+F7-3.012*G7)-0.31)/0.172</f>
        <v>35.665590262012685</v>
      </c>
      <c r="I7">
        <v>81.957999999999998</v>
      </c>
      <c r="J7">
        <v>0.59899999999999998</v>
      </c>
      <c r="K7">
        <v>36.087000000000003</v>
      </c>
      <c r="L7">
        <f>100*((J7+1.75*I7)/(5.645*I7+J7-3.012*K7)-0.31)/0.172</f>
        <v>55.936947161902985</v>
      </c>
      <c r="M7" s="2">
        <f t="shared" si="0"/>
        <v>20.2713568998903</v>
      </c>
    </row>
    <row r="8" spans="1:13" x14ac:dyDescent="0.25">
      <c r="A8" t="s">
        <v>14</v>
      </c>
      <c r="B8" t="s">
        <v>8</v>
      </c>
      <c r="C8">
        <v>2</v>
      </c>
      <c r="D8">
        <v>5</v>
      </c>
      <c r="E8">
        <v>89.676000000000002</v>
      </c>
      <c r="F8">
        <v>-5.1669999999999998</v>
      </c>
      <c r="G8">
        <v>29.003</v>
      </c>
      <c r="H8">
        <f>100*((F8+1.75*E8)/(5.645*E8+F8-3.012*G8)-0.31)/0.172</f>
        <v>33.054098336616534</v>
      </c>
      <c r="I8">
        <v>81.543999999999997</v>
      </c>
      <c r="J8">
        <v>1.1180000000000001</v>
      </c>
      <c r="K8">
        <v>38.414999999999999</v>
      </c>
      <c r="L8">
        <f>100*((J8+1.75*I8)/(5.645*I8+J8-3.012*K8)-0.31)/0.172</f>
        <v>61.623187577740055</v>
      </c>
      <c r="M8" s="2">
        <f t="shared" si="0"/>
        <v>28.569089241123521</v>
      </c>
    </row>
    <row r="9" spans="1:13" x14ac:dyDescent="0.25">
      <c r="A9" t="s">
        <v>14</v>
      </c>
      <c r="B9" t="s">
        <v>9</v>
      </c>
      <c r="C9">
        <v>7</v>
      </c>
      <c r="D9">
        <v>6</v>
      </c>
      <c r="E9">
        <v>90.116</v>
      </c>
      <c r="F9">
        <v>-3.988</v>
      </c>
      <c r="G9">
        <v>29.379000000000001</v>
      </c>
      <c r="H9">
        <f>100*((F9+1.75*E9)/(5.645*E9+F9-3.012*G9)-0.31)/0.172</f>
        <v>34.479912807134937</v>
      </c>
      <c r="I9">
        <v>86.631</v>
      </c>
      <c r="J9">
        <v>-0.503</v>
      </c>
      <c r="K9">
        <v>36.082000000000001</v>
      </c>
      <c r="L9">
        <f>100*((J9+1.75*I9)/(5.645*I9+J9-3.012*K9)-0.31)/0.172</f>
        <v>51.041790707300891</v>
      </c>
      <c r="M9" s="2">
        <f t="shared" si="0"/>
        <v>16.561877900165953</v>
      </c>
    </row>
    <row r="10" spans="1:13" x14ac:dyDescent="0.25">
      <c r="A10" t="s">
        <v>14</v>
      </c>
      <c r="B10" t="s">
        <v>10</v>
      </c>
      <c r="C10">
        <v>3</v>
      </c>
      <c r="D10">
        <v>4</v>
      </c>
      <c r="E10">
        <v>94.114000000000004</v>
      </c>
      <c r="F10">
        <v>-3.956</v>
      </c>
      <c r="G10">
        <v>28.82</v>
      </c>
      <c r="H10">
        <f>100*((F10+1.75*E10)/(5.645*E10+F10-3.012*G10)-0.31)/0.172</f>
        <v>31.919639809659088</v>
      </c>
      <c r="I10">
        <v>90.234999999999999</v>
      </c>
      <c r="J10">
        <v>-4.18</v>
      </c>
      <c r="K10">
        <v>30.184999999999999</v>
      </c>
      <c r="L10">
        <f>100*((J10+1.75*I10)/(5.645*I10+J10-3.012*K10)-0.31)/0.172</f>
        <v>35.512283214990816</v>
      </c>
      <c r="M10" s="2">
        <f t="shared" si="0"/>
        <v>3.592643405331728</v>
      </c>
    </row>
    <row r="11" spans="1:13" x14ac:dyDescent="0.25">
      <c r="A11" t="s">
        <v>14</v>
      </c>
      <c r="B11" t="s">
        <v>11</v>
      </c>
      <c r="C11">
        <v>1</v>
      </c>
      <c r="D11">
        <v>2</v>
      </c>
      <c r="E11">
        <v>91.718999999999994</v>
      </c>
      <c r="F11">
        <v>-3.8119999999999998</v>
      </c>
      <c r="G11">
        <v>27.196999999999999</v>
      </c>
      <c r="H11">
        <f>100*((F11+1.75*E11)/(5.645*E11+F11-3.012*G11)-0.31)/0.172</f>
        <v>30.640885184716122</v>
      </c>
      <c r="I11">
        <v>73.242000000000004</v>
      </c>
      <c r="J11">
        <v>4.8090000000000002</v>
      </c>
      <c r="K11">
        <v>39.064</v>
      </c>
      <c r="L11">
        <f>100*((J11+1.75*I11)/(5.645*I11+J11-3.012*K11)-0.31)/0.172</f>
        <v>76.971638005472357</v>
      </c>
      <c r="M11" s="2">
        <f t="shared" si="0"/>
        <v>46.330752820756231</v>
      </c>
    </row>
    <row r="12" spans="1:13" x14ac:dyDescent="0.25">
      <c r="A12" t="s">
        <v>14</v>
      </c>
      <c r="B12" t="s">
        <v>12</v>
      </c>
      <c r="C12">
        <v>5</v>
      </c>
      <c r="D12">
        <v>3</v>
      </c>
      <c r="E12">
        <v>93.167000000000002</v>
      </c>
      <c r="F12">
        <v>-4.117</v>
      </c>
      <c r="G12">
        <v>25.756</v>
      </c>
      <c r="H12">
        <f>100*((F12+1.75*E12)/(5.645*E12+F12-3.012*G12)-0.31)/0.172</f>
        <v>27.762497207479235</v>
      </c>
      <c r="I12">
        <v>92.061999999999998</v>
      </c>
      <c r="J12">
        <v>-3.3149999999999999</v>
      </c>
      <c r="K12">
        <v>30.553000000000001</v>
      </c>
      <c r="L12">
        <f>100*((J12+1.75*I12)/(5.645*I12+J12-3.012*K12)-0.31)/0.172</f>
        <v>35.958196275385724</v>
      </c>
      <c r="M12" s="2">
        <f t="shared" si="0"/>
        <v>8.1956990679064887</v>
      </c>
    </row>
    <row r="13" spans="1:13" x14ac:dyDescent="0.25">
      <c r="A13" t="s">
        <v>14</v>
      </c>
      <c r="B13" t="s">
        <v>13</v>
      </c>
      <c r="C13">
        <v>6</v>
      </c>
      <c r="D13">
        <v>1</v>
      </c>
      <c r="E13">
        <v>89.545000000000002</v>
      </c>
      <c r="F13">
        <v>-3.9359999999999999</v>
      </c>
      <c r="G13">
        <v>28.283000000000001</v>
      </c>
      <c r="H13">
        <f>100*((F13+1.75*E13)/(5.645*E13+F13-3.012*G13)-0.31)/0.172</f>
        <v>33.090219629752653</v>
      </c>
      <c r="I13">
        <v>90.043999999999997</v>
      </c>
      <c r="J13">
        <v>-2.84</v>
      </c>
      <c r="K13">
        <v>35.701999999999998</v>
      </c>
      <c r="L13">
        <f>100*((J13+1.75*I13)/(5.645*I13+J13-3.012*K13)-0.31)/0.172</f>
        <v>45.849261606505387</v>
      </c>
      <c r="M13" s="2">
        <f t="shared" si="0"/>
        <v>12.759041976752734</v>
      </c>
    </row>
    <row r="14" spans="1:13" x14ac:dyDescent="0.25">
      <c r="A14" t="s">
        <v>15</v>
      </c>
      <c r="B14" t="s">
        <v>8</v>
      </c>
      <c r="C14">
        <v>3</v>
      </c>
      <c r="D14">
        <v>6</v>
      </c>
      <c r="E14">
        <v>90.671000000000006</v>
      </c>
      <c r="F14">
        <v>-3.7120000000000002</v>
      </c>
      <c r="G14">
        <v>28.943999999999999</v>
      </c>
      <c r="H14">
        <f>100*((F14+1.75*E14)/(5.645*E14+F14-3.012*G14)-0.31)/0.172</f>
        <v>33.795444132185942</v>
      </c>
      <c r="I14">
        <v>86.424000000000007</v>
      </c>
      <c r="J14">
        <v>-1.218</v>
      </c>
      <c r="K14">
        <v>36.625</v>
      </c>
      <c r="L14">
        <f>100*((J14+1.75*I14)/(5.645*I14+J14-3.012*K14)-0.31)/0.172</f>
        <v>51.540164408987479</v>
      </c>
      <c r="M14" s="2">
        <f t="shared" si="0"/>
        <v>17.744720276801537</v>
      </c>
    </row>
    <row r="15" spans="1:13" x14ac:dyDescent="0.25">
      <c r="A15" t="s">
        <v>15</v>
      </c>
      <c r="B15" t="s">
        <v>9</v>
      </c>
      <c r="C15">
        <v>2</v>
      </c>
      <c r="D15">
        <v>2</v>
      </c>
      <c r="E15">
        <v>91.900999999999996</v>
      </c>
      <c r="F15">
        <v>-3.5840000000000001</v>
      </c>
      <c r="G15">
        <v>28.760999999999999</v>
      </c>
      <c r="H15">
        <f>100*((F15+1.75*E15)/(5.645*E15+F15-3.012*G15)-0.31)/0.172</f>
        <v>33.082452314503954</v>
      </c>
      <c r="I15">
        <v>81.37</v>
      </c>
      <c r="J15">
        <v>1.472</v>
      </c>
      <c r="K15">
        <v>38.719000000000001</v>
      </c>
      <c r="L15">
        <f>100*((J15+1.75*I15)/(5.645*I15+J15-3.012*K15)-0.31)/0.172</f>
        <v>62.79167538962907</v>
      </c>
      <c r="M15" s="2">
        <f t="shared" si="0"/>
        <v>29.709223075125117</v>
      </c>
    </row>
    <row r="16" spans="1:13" x14ac:dyDescent="0.25">
      <c r="A16" t="s">
        <v>15</v>
      </c>
      <c r="B16" t="s">
        <v>10</v>
      </c>
      <c r="C16">
        <v>1</v>
      </c>
      <c r="D16">
        <v>4</v>
      </c>
      <c r="E16">
        <v>88.269000000000005</v>
      </c>
      <c r="F16">
        <v>-3.6909999999999998</v>
      </c>
      <c r="G16">
        <v>32.664000000000001</v>
      </c>
      <c r="H16">
        <f>100*((F16+1.75*E16)/(5.645*E16+F16-3.012*G16)-0.31)/0.172</f>
        <v>41.024036419430942</v>
      </c>
      <c r="I16">
        <v>90.721999999999994</v>
      </c>
      <c r="J16">
        <v>-4.1740000000000004</v>
      </c>
      <c r="K16">
        <v>27.814</v>
      </c>
      <c r="L16">
        <f>100*((J16+1.75*I16)/(5.645*I16+J16-3.012*K16)-0.31)/0.172</f>
        <v>31.655037590308908</v>
      </c>
      <c r="M16" s="2">
        <f t="shared" si="0"/>
        <v>-9.3689988291220345</v>
      </c>
    </row>
    <row r="17" spans="1:13" x14ac:dyDescent="0.25">
      <c r="A17" t="s">
        <v>15</v>
      </c>
      <c r="B17" t="s">
        <v>11</v>
      </c>
      <c r="C17">
        <v>7</v>
      </c>
      <c r="D17">
        <v>5</v>
      </c>
      <c r="E17">
        <v>90.563999999999993</v>
      </c>
      <c r="F17">
        <v>-3.0779999999999998</v>
      </c>
      <c r="G17">
        <v>31.245999999999999</v>
      </c>
      <c r="H17">
        <f>100*((F17+1.75*E17)/(5.645*E17+F17-3.012*G17)-0.31)/0.172</f>
        <v>37.991412080864336</v>
      </c>
      <c r="I17">
        <v>74.644999999999996</v>
      </c>
      <c r="J17">
        <v>2.8849999999999998</v>
      </c>
      <c r="K17">
        <v>37.993000000000002</v>
      </c>
      <c r="L17">
        <f>100*((J17+1.75*I17)/(5.645*I17+J17-3.012*K17)-0.31)/0.172</f>
        <v>70.312905035519364</v>
      </c>
      <c r="M17" s="2">
        <f t="shared" si="0"/>
        <v>32.321492954655028</v>
      </c>
    </row>
    <row r="18" spans="1:13" x14ac:dyDescent="0.25">
      <c r="A18" t="s">
        <v>15</v>
      </c>
      <c r="B18" t="s">
        <v>12</v>
      </c>
      <c r="C18">
        <v>4</v>
      </c>
      <c r="D18">
        <v>3</v>
      </c>
      <c r="E18">
        <v>90.38</v>
      </c>
      <c r="F18">
        <v>-3.722</v>
      </c>
      <c r="G18">
        <v>30.402000000000001</v>
      </c>
      <c r="H18">
        <f>100*((F18+1.75*E18)/(5.645*E18+F18-3.012*G18)-0.31)/0.172</f>
        <v>36.185733719787493</v>
      </c>
      <c r="I18">
        <v>94.313999999999993</v>
      </c>
      <c r="J18">
        <v>-4.0860000000000003</v>
      </c>
      <c r="K18">
        <v>27.489000000000001</v>
      </c>
      <c r="L18">
        <f>100*((J18+1.75*I18)/(5.645*I18+J18-3.012*K18)-0.31)/0.172</f>
        <v>29.821987629442084</v>
      </c>
      <c r="M18" s="2">
        <f t="shared" si="0"/>
        <v>-6.3637460903454084</v>
      </c>
    </row>
    <row r="19" spans="1:13" x14ac:dyDescent="0.25">
      <c r="A19" t="s">
        <v>15</v>
      </c>
      <c r="B19" t="s">
        <v>13</v>
      </c>
      <c r="C19">
        <v>5</v>
      </c>
      <c r="D19">
        <v>1</v>
      </c>
      <c r="E19">
        <v>89.771000000000001</v>
      </c>
      <c r="F19">
        <v>-4.5860000000000003</v>
      </c>
      <c r="G19">
        <v>29.434999999999999</v>
      </c>
      <c r="H19">
        <f>100*((F19+1.75*E19)/(5.645*E19+F19-3.012*G19)-0.31)/0.172</f>
        <v>34.199583301328914</v>
      </c>
      <c r="I19">
        <v>86.995000000000005</v>
      </c>
      <c r="J19">
        <v>-2.593</v>
      </c>
      <c r="K19">
        <v>35.686</v>
      </c>
      <c r="L19">
        <f>100*((J19+1.75*I19)/(5.645*I19+J19-3.012*K19)-0.31)/0.172</f>
        <v>48.121966882632293</v>
      </c>
      <c r="M19" s="2">
        <f t="shared" si="0"/>
        <v>13.922383581303379</v>
      </c>
    </row>
    <row r="20" spans="1:13" x14ac:dyDescent="0.25">
      <c r="A20" t="s">
        <v>16</v>
      </c>
      <c r="B20" t="s">
        <v>8</v>
      </c>
      <c r="C20">
        <v>4</v>
      </c>
      <c r="D20">
        <v>1</v>
      </c>
      <c r="E20">
        <v>90.051000000000002</v>
      </c>
      <c r="F20">
        <v>-4.6070000000000002</v>
      </c>
      <c r="G20">
        <v>29.465</v>
      </c>
      <c r="H20">
        <f>100*((F20+1.75*E20)/(5.645*E20+F20-3.012*G20)-0.31)/0.172</f>
        <v>34.097463622118205</v>
      </c>
      <c r="I20">
        <v>88.251999999999995</v>
      </c>
      <c r="J20">
        <v>-1.1719999999999999</v>
      </c>
      <c r="K20">
        <v>37.244</v>
      </c>
      <c r="L20">
        <f>100*((J20+1.75*I20)/(5.645*I20+J20-3.012*K20)-0.31)/0.172</f>
        <v>51.322961059678541</v>
      </c>
      <c r="M20" s="2">
        <f t="shared" si="0"/>
        <v>17.225497437560335</v>
      </c>
    </row>
    <row r="21" spans="1:13" x14ac:dyDescent="0.25">
      <c r="A21" t="s">
        <v>16</v>
      </c>
      <c r="B21" t="s">
        <v>9</v>
      </c>
      <c r="C21">
        <v>5</v>
      </c>
      <c r="D21">
        <v>5</v>
      </c>
      <c r="E21">
        <v>93.353999999999999</v>
      </c>
      <c r="F21">
        <v>-4.5359999999999996</v>
      </c>
      <c r="G21">
        <v>31.131</v>
      </c>
      <c r="H21">
        <f>100*((F21+1.75*E21)/(5.645*E21+F21-3.012*G21)-0.31)/0.172</f>
        <v>35.184290917018473</v>
      </c>
      <c r="I21">
        <v>88.695999999999998</v>
      </c>
      <c r="J21">
        <v>-1.387</v>
      </c>
      <c r="K21">
        <v>34.997999999999998</v>
      </c>
      <c r="L21">
        <f>100*((J21+1.75*I21)/(5.645*I21+J21-3.012*K21)-0.31)/0.172</f>
        <v>46.828536949419544</v>
      </c>
      <c r="M21" s="2">
        <f t="shared" si="0"/>
        <v>11.644246032401071</v>
      </c>
    </row>
    <row r="22" spans="1:13" x14ac:dyDescent="0.25">
      <c r="A22" t="s">
        <v>16</v>
      </c>
      <c r="B22" t="s">
        <v>10</v>
      </c>
      <c r="C22">
        <v>8</v>
      </c>
      <c r="D22">
        <v>2</v>
      </c>
      <c r="E22">
        <v>92.406000000000006</v>
      </c>
      <c r="F22">
        <v>-4.6360000000000001</v>
      </c>
      <c r="G22">
        <v>28.472999999999999</v>
      </c>
      <c r="H22">
        <f>100*((F22+1.75*E22)/(5.645*E22+F22-3.012*G22)-0.31)/0.172</f>
        <v>31.536761692301997</v>
      </c>
      <c r="I22">
        <v>93.667000000000002</v>
      </c>
      <c r="J22">
        <v>-3.6520000000000001</v>
      </c>
      <c r="K22">
        <v>22.31</v>
      </c>
      <c r="L22">
        <f>100*((J22+1.75*I22)/(5.645*I22+J22-3.012*K22)-0.31)/0.172</f>
        <v>23.255911402810938</v>
      </c>
      <c r="M22" s="2">
        <f t="shared" si="0"/>
        <v>-8.2808502894910596</v>
      </c>
    </row>
    <row r="23" spans="1:13" x14ac:dyDescent="0.25">
      <c r="A23" t="s">
        <v>16</v>
      </c>
      <c r="B23" t="s">
        <v>11</v>
      </c>
      <c r="C23">
        <v>2</v>
      </c>
      <c r="D23">
        <v>4</v>
      </c>
      <c r="E23">
        <v>90.872</v>
      </c>
      <c r="F23">
        <v>-2.7770000000000001</v>
      </c>
      <c r="G23">
        <v>30.983000000000001</v>
      </c>
      <c r="H23">
        <f>100*((F23+1.75*E23)/(5.645*E23+F23-3.012*G23)-0.31)/0.172</f>
        <v>37.680531965473108</v>
      </c>
      <c r="I23">
        <v>77.364000000000004</v>
      </c>
      <c r="J23">
        <v>2.8969999999999998</v>
      </c>
      <c r="K23">
        <v>39.314999999999998</v>
      </c>
      <c r="L23">
        <f>100*((J23+1.75*I23)/(5.645*I23+J23-3.012*K23)-0.31)/0.172</f>
        <v>70.071534072808319</v>
      </c>
      <c r="M23" s="2">
        <f t="shared" si="0"/>
        <v>32.391002107335211</v>
      </c>
    </row>
    <row r="24" spans="1:13" x14ac:dyDescent="0.25">
      <c r="A24" t="s">
        <v>16</v>
      </c>
      <c r="B24" t="s">
        <v>12</v>
      </c>
      <c r="C24">
        <v>6</v>
      </c>
      <c r="D24">
        <v>3</v>
      </c>
      <c r="E24">
        <v>89.414000000000001</v>
      </c>
      <c r="F24">
        <v>-3.81</v>
      </c>
      <c r="G24">
        <v>29.302</v>
      </c>
      <c r="H24">
        <f>100*((F24+1.75*E24)/(5.645*E24+F24-3.012*G24)-0.31)/0.172</f>
        <v>34.848457164714794</v>
      </c>
      <c r="I24">
        <v>93.376000000000005</v>
      </c>
      <c r="J24">
        <v>-4.9880000000000004</v>
      </c>
      <c r="K24">
        <v>19.443000000000001</v>
      </c>
      <c r="L24">
        <f>100*((J24+1.75*I24)/(5.645*I24+J24-3.012*K24)-0.31)/0.172</f>
        <v>18.45845640630036</v>
      </c>
      <c r="M24" s="2">
        <f t="shared" si="0"/>
        <v>-16.390000758414434</v>
      </c>
    </row>
    <row r="25" spans="1:13" x14ac:dyDescent="0.25">
      <c r="A25" t="s">
        <v>16</v>
      </c>
      <c r="B25" t="s">
        <v>13</v>
      </c>
      <c r="C25">
        <v>7</v>
      </c>
      <c r="D25">
        <v>6</v>
      </c>
      <c r="E25">
        <v>87.632000000000005</v>
      </c>
      <c r="F25">
        <v>-2.9239999999999999</v>
      </c>
      <c r="G25">
        <v>30.204999999999998</v>
      </c>
      <c r="H25">
        <f>100*((F25+1.75*E25)/(5.645*E25+F25-3.012*G25)-0.31)/0.172</f>
        <v>37.992422175855843</v>
      </c>
      <c r="I25">
        <v>88.369</v>
      </c>
      <c r="J25">
        <v>-4.1529999999999996</v>
      </c>
      <c r="K25">
        <v>33.024000000000001</v>
      </c>
      <c r="L25">
        <f>100*((J25+1.75*I25)/(5.645*I25+J25-3.012*K25)-0.31)/0.172</f>
        <v>41.151493192140677</v>
      </c>
      <c r="M25" s="2">
        <f t="shared" si="0"/>
        <v>3.1590710162848339</v>
      </c>
    </row>
    <row r="26" spans="1:13" x14ac:dyDescent="0.25">
      <c r="A26" t="s">
        <v>17</v>
      </c>
      <c r="B26" t="s">
        <v>8</v>
      </c>
      <c r="C26">
        <v>2</v>
      </c>
      <c r="D26">
        <v>2</v>
      </c>
      <c r="E26">
        <v>92.087000000000003</v>
      </c>
      <c r="F26">
        <v>-3.4319999999999999</v>
      </c>
      <c r="G26">
        <v>31.213000000000001</v>
      </c>
      <c r="H26">
        <f>100*((F26+1.75*E26)/(5.645*E26+F26-3.012*G26)-0.31)/0.172</f>
        <v>36.862505395631786</v>
      </c>
      <c r="I26">
        <v>80.953000000000003</v>
      </c>
      <c r="J26">
        <v>-0.157</v>
      </c>
      <c r="K26">
        <v>38.106999999999999</v>
      </c>
      <c r="L26">
        <f>100*((J26+1.75*I26)/(5.645*I26+J26-3.012*K26)-0.31)/0.172</f>
        <v>60.302564259574694</v>
      </c>
      <c r="M26" s="2">
        <f t="shared" si="0"/>
        <v>23.440058863942909</v>
      </c>
    </row>
    <row r="27" spans="1:13" x14ac:dyDescent="0.25">
      <c r="A27" t="s">
        <v>17</v>
      </c>
      <c r="B27" t="s">
        <v>9</v>
      </c>
      <c r="C27">
        <v>4</v>
      </c>
      <c r="D27">
        <v>5</v>
      </c>
      <c r="E27">
        <v>90.543999999999997</v>
      </c>
      <c r="F27">
        <v>-3.7349999999999999</v>
      </c>
      <c r="G27">
        <v>31.222999999999999</v>
      </c>
      <c r="H27">
        <f>100*((F27+1.75*E27)/(5.645*E27+F27-3.012*G27)-0.31)/0.172</f>
        <v>37.387958990253587</v>
      </c>
      <c r="I27">
        <v>83.882999999999996</v>
      </c>
      <c r="J27">
        <v>-9.7000000000000003E-2</v>
      </c>
      <c r="K27">
        <v>37.319000000000003</v>
      </c>
      <c r="L27">
        <f>100*((J27+1.75*I27)/(5.645*I27+J27-3.012*K27)-0.31)/0.172</f>
        <v>56.015355962246659</v>
      </c>
      <c r="M27" s="2">
        <f t="shared" si="0"/>
        <v>18.627396971993072</v>
      </c>
    </row>
    <row r="28" spans="1:13" x14ac:dyDescent="0.25">
      <c r="A28" t="s">
        <v>17</v>
      </c>
      <c r="B28" t="s">
        <v>10</v>
      </c>
      <c r="C28">
        <v>3</v>
      </c>
      <c r="D28">
        <v>1</v>
      </c>
      <c r="E28">
        <v>87.539000000000001</v>
      </c>
      <c r="F28">
        <v>-2.4950000000000001</v>
      </c>
      <c r="G28">
        <v>29.92</v>
      </c>
      <c r="H28">
        <f>100*((F28+1.75*E28)/(5.645*E28+F28-3.012*G28)-0.31)/0.172</f>
        <v>37.963568893656763</v>
      </c>
      <c r="I28">
        <v>90.421999999999997</v>
      </c>
      <c r="J28">
        <v>-3.4969999999999999</v>
      </c>
      <c r="K28">
        <v>27.806999999999999</v>
      </c>
      <c r="L28">
        <f>100*((J28+1.75*I28)/(5.645*I28+J28-3.012*K28)-0.31)/0.172</f>
        <v>32.362273372134581</v>
      </c>
      <c r="M28" s="2">
        <f t="shared" si="0"/>
        <v>-5.6012955215221822</v>
      </c>
    </row>
    <row r="29" spans="1:13" x14ac:dyDescent="0.25">
      <c r="A29" t="s">
        <v>17</v>
      </c>
      <c r="B29" t="s">
        <v>11</v>
      </c>
      <c r="C29">
        <v>5</v>
      </c>
      <c r="D29">
        <v>4</v>
      </c>
      <c r="E29">
        <v>87.046000000000006</v>
      </c>
      <c r="F29">
        <v>-3.5720000000000001</v>
      </c>
      <c r="G29">
        <v>28.187999999999999</v>
      </c>
      <c r="H29">
        <f>100*((F29+1.75*E29)/(5.645*E29+F29-3.012*G29)-0.31)/0.172</f>
        <v>34.429668541622128</v>
      </c>
      <c r="I29">
        <v>67.185000000000002</v>
      </c>
      <c r="J29">
        <v>8.6029999999999998</v>
      </c>
      <c r="K29">
        <v>38.627000000000002</v>
      </c>
      <c r="L29">
        <f>100*((J29+1.75*I29)/(5.645*I29+J29-3.012*K29)-0.31)/0.172</f>
        <v>89.947059223362672</v>
      </c>
      <c r="M29" s="2">
        <f t="shared" si="0"/>
        <v>55.517390681740544</v>
      </c>
    </row>
    <row r="30" spans="1:13" x14ac:dyDescent="0.25">
      <c r="A30" t="s">
        <v>17</v>
      </c>
      <c r="B30" t="s">
        <v>12</v>
      </c>
      <c r="C30">
        <v>8</v>
      </c>
      <c r="D30">
        <v>3</v>
      </c>
      <c r="E30">
        <v>86.725999999999999</v>
      </c>
      <c r="F30">
        <v>-2.274</v>
      </c>
      <c r="G30">
        <v>33.32</v>
      </c>
      <c r="H30">
        <f>100*((F30+1.75*E30)/(5.645*E30+F30-3.012*G30)-0.31)/0.172</f>
        <v>44.396120594073466</v>
      </c>
      <c r="I30">
        <v>90.18</v>
      </c>
      <c r="J30">
        <v>-5.3369999999999997</v>
      </c>
      <c r="K30">
        <v>25.181999999999999</v>
      </c>
      <c r="L30">
        <f>100*((J30+1.75*I30)/(5.645*I30+J30-3.012*K30)-0.31)/0.172</f>
        <v>26.9512555924148</v>
      </c>
      <c r="M30" s="2">
        <f t="shared" si="0"/>
        <v>-17.444865001658666</v>
      </c>
    </row>
    <row r="31" spans="1:13" x14ac:dyDescent="0.25">
      <c r="A31" t="s">
        <v>17</v>
      </c>
      <c r="B31" t="s">
        <v>13</v>
      </c>
      <c r="C31">
        <v>6</v>
      </c>
      <c r="D31">
        <v>6</v>
      </c>
      <c r="E31">
        <v>89.71</v>
      </c>
      <c r="F31">
        <v>-2.8460000000000001</v>
      </c>
      <c r="G31">
        <v>32.481000000000002</v>
      </c>
      <c r="H31">
        <f>100*((F31+1.75*E31)/(5.645*E31+F31-3.012*G31)-0.31)/0.172</f>
        <v>40.651121370291577</v>
      </c>
      <c r="I31">
        <v>82.686000000000007</v>
      </c>
      <c r="J31">
        <v>-0.71299999999999997</v>
      </c>
      <c r="K31">
        <v>36.636000000000003</v>
      </c>
      <c r="L31">
        <f>100*((J31+1.75*I31)/(5.645*I31+J31-3.012*K31)-0.31)/0.172</f>
        <v>55.115291793975153</v>
      </c>
      <c r="M31" s="2">
        <f t="shared" si="0"/>
        <v>14.464170423683576</v>
      </c>
    </row>
    <row r="32" spans="1:13" x14ac:dyDescent="0.25">
      <c r="A32" t="s">
        <v>18</v>
      </c>
      <c r="B32" t="s">
        <v>8</v>
      </c>
      <c r="C32">
        <v>5</v>
      </c>
      <c r="D32">
        <v>5</v>
      </c>
      <c r="E32">
        <v>87.492000000000004</v>
      </c>
      <c r="F32">
        <v>-3.2890000000000001</v>
      </c>
      <c r="G32">
        <v>32.058</v>
      </c>
      <c r="H32">
        <f>100*((F32+1.75*E32)/(5.645*E32+F32-3.012*G32)-0.31)/0.172</f>
        <v>40.823140192678437</v>
      </c>
      <c r="I32">
        <v>84.858999999999995</v>
      </c>
      <c r="J32">
        <v>-0.93300000000000005</v>
      </c>
      <c r="K32">
        <v>37.045999999999999</v>
      </c>
      <c r="L32">
        <f>100*((J32+1.75*I32)/(5.645*I32+J32-3.012*K32)-0.31)/0.172</f>
        <v>53.856107829053464</v>
      </c>
      <c r="M32" s="2">
        <f t="shared" si="0"/>
        <v>13.032967636375027</v>
      </c>
    </row>
    <row r="33" spans="1:13" x14ac:dyDescent="0.25">
      <c r="A33" t="s">
        <v>18</v>
      </c>
      <c r="B33" t="s">
        <v>9</v>
      </c>
      <c r="C33">
        <v>2</v>
      </c>
      <c r="D33">
        <v>6</v>
      </c>
      <c r="E33">
        <v>88.834000000000003</v>
      </c>
      <c r="F33">
        <v>-2.0499999999999998</v>
      </c>
      <c r="G33">
        <v>33.152000000000001</v>
      </c>
      <c r="H33">
        <f>100*((F33+1.75*E33)/(5.645*E33+F33-3.012*G33)-0.31)/0.172</f>
        <v>42.989619298600317</v>
      </c>
      <c r="I33">
        <v>79.899000000000001</v>
      </c>
      <c r="J33">
        <v>2.008</v>
      </c>
      <c r="K33">
        <v>39.258000000000003</v>
      </c>
      <c r="L33">
        <f>100*((J33+1.75*I33)/(5.645*I33+J33-3.012*K33)-0.31)/0.172</f>
        <v>66.069151957389437</v>
      </c>
      <c r="M33" s="2">
        <f t="shared" si="0"/>
        <v>23.07953265878912</v>
      </c>
    </row>
    <row r="34" spans="1:13" x14ac:dyDescent="0.25">
      <c r="A34" t="s">
        <v>18</v>
      </c>
      <c r="B34" t="s">
        <v>10</v>
      </c>
      <c r="C34">
        <v>1</v>
      </c>
      <c r="D34">
        <v>4</v>
      </c>
      <c r="E34">
        <v>88.716999999999999</v>
      </c>
      <c r="F34">
        <v>-2.3889999999999998</v>
      </c>
      <c r="G34">
        <v>32.707999999999998</v>
      </c>
      <c r="H34">
        <f>100*((F34+1.75*E34)/(5.645*E34+F34-3.012*G34)-0.31)/0.172</f>
        <v>42.010498749518895</v>
      </c>
      <c r="I34">
        <v>90.162000000000006</v>
      </c>
      <c r="J34">
        <v>-4.03</v>
      </c>
      <c r="K34">
        <v>26.963000000000001</v>
      </c>
      <c r="L34">
        <f>100*((J34+1.75*I34)/(5.645*I34+J34-3.012*K34)-0.31)/0.172</f>
        <v>30.734971729810663</v>
      </c>
      <c r="M34" s="2">
        <f t="shared" si="0"/>
        <v>-11.275527019708232</v>
      </c>
    </row>
    <row r="35" spans="1:13" x14ac:dyDescent="0.25">
      <c r="A35" t="s">
        <v>18</v>
      </c>
      <c r="B35" t="s">
        <v>11</v>
      </c>
      <c r="C35">
        <v>8</v>
      </c>
      <c r="D35">
        <v>2</v>
      </c>
      <c r="E35">
        <v>87.731999999999999</v>
      </c>
      <c r="F35">
        <v>-1.6950000000000001</v>
      </c>
      <c r="G35">
        <v>33.091000000000001</v>
      </c>
      <c r="H35">
        <f>100*((F35+1.75*E35)/(5.645*E35+F35-3.012*G35)-0.31)/0.172</f>
        <v>43.887186932082429</v>
      </c>
      <c r="I35">
        <v>75.164000000000001</v>
      </c>
      <c r="J35">
        <v>4.8760000000000003</v>
      </c>
      <c r="K35">
        <v>40.545000000000002</v>
      </c>
      <c r="L35">
        <f>100*((J35+1.75*I35)/(5.645*I35+J35-3.012*K35)-0.31)/0.172</f>
        <v>78.059349599705357</v>
      </c>
      <c r="M35" s="2">
        <f t="shared" si="0"/>
        <v>34.172162667622928</v>
      </c>
    </row>
    <row r="36" spans="1:13" x14ac:dyDescent="0.25">
      <c r="A36" t="s">
        <v>18</v>
      </c>
      <c r="B36" t="s">
        <v>12</v>
      </c>
      <c r="C36">
        <v>4</v>
      </c>
      <c r="D36">
        <v>1</v>
      </c>
      <c r="E36">
        <v>92.875</v>
      </c>
      <c r="F36">
        <v>-4.3259999999999996</v>
      </c>
      <c r="G36">
        <v>29.867999999999999</v>
      </c>
      <c r="H36">
        <f>100*((F36+1.75*E36)/(5.645*E36+F36-3.012*G36)-0.31)/0.172</f>
        <v>33.678442979044242</v>
      </c>
      <c r="I36">
        <v>87.537000000000006</v>
      </c>
      <c r="J36">
        <v>-4.5110000000000001</v>
      </c>
      <c r="K36">
        <v>28.533000000000001</v>
      </c>
      <c r="L36">
        <f>100*((J36+1.75*I36)/(5.645*I36+J36-3.012*K36)-0.31)/0.172</f>
        <v>33.89284466263144</v>
      </c>
      <c r="M36" s="2">
        <f t="shared" si="0"/>
        <v>0.21440168358719802</v>
      </c>
    </row>
    <row r="37" spans="1:13" x14ac:dyDescent="0.25">
      <c r="A37" t="s">
        <v>18</v>
      </c>
      <c r="B37" t="s">
        <v>13</v>
      </c>
      <c r="C37">
        <v>6</v>
      </c>
      <c r="D37">
        <v>3</v>
      </c>
      <c r="E37">
        <v>87.911000000000001</v>
      </c>
      <c r="F37">
        <v>-3.1320000000000001</v>
      </c>
      <c r="G37">
        <v>32.731999999999999</v>
      </c>
      <c r="H37">
        <f>100*((F37+1.75*E37)/(5.645*E37+F37-3.012*G37)-0.31)/0.172</f>
        <v>41.859268832703457</v>
      </c>
      <c r="I37">
        <v>84.295000000000002</v>
      </c>
      <c r="J37">
        <v>-0.52300000000000002</v>
      </c>
      <c r="K37">
        <v>37.000999999999998</v>
      </c>
      <c r="L37">
        <f>100*((J37+1.75*I37)/(5.645*I37+J37-3.012*K37)-0.31)/0.172</f>
        <v>54.631420125635458</v>
      </c>
      <c r="M37" s="2">
        <f t="shared" si="0"/>
        <v>12.772151292932001</v>
      </c>
    </row>
    <row r="38" spans="1:13" x14ac:dyDescent="0.25">
      <c r="A38" t="s">
        <v>19</v>
      </c>
      <c r="B38" t="s">
        <v>8</v>
      </c>
      <c r="C38">
        <v>6</v>
      </c>
      <c r="D38">
        <v>5</v>
      </c>
      <c r="E38">
        <v>90.480999999999995</v>
      </c>
      <c r="F38">
        <v>-3.2650000000000001</v>
      </c>
      <c r="G38">
        <v>29.814</v>
      </c>
      <c r="H38">
        <f>100*((F38+1.75*E38)/(5.645*E38+F38-3.012*G38)-0.31)/0.172</f>
        <v>35.618048042058497</v>
      </c>
      <c r="I38">
        <v>83.536000000000001</v>
      </c>
      <c r="J38">
        <v>-0.73</v>
      </c>
      <c r="K38">
        <v>35.295000000000002</v>
      </c>
      <c r="L38">
        <f>100*((J38+1.75*I38)/(5.645*I38+J38-3.012*K38)-0.31)/0.172</f>
        <v>51.765957427234746</v>
      </c>
      <c r="M38" s="2">
        <f t="shared" si="0"/>
        <v>16.147909385176249</v>
      </c>
    </row>
    <row r="39" spans="1:13" x14ac:dyDescent="0.25">
      <c r="A39" t="s">
        <v>19</v>
      </c>
      <c r="B39" t="s">
        <v>9</v>
      </c>
      <c r="C39">
        <v>2</v>
      </c>
      <c r="D39">
        <v>4</v>
      </c>
      <c r="E39">
        <v>91.64</v>
      </c>
      <c r="F39">
        <v>-3.6480000000000001</v>
      </c>
      <c r="G39">
        <v>28.861999999999998</v>
      </c>
      <c r="H39">
        <f>100*((F39+1.75*E39)/(5.645*E39+F39-3.012*G39)-0.31)/0.172</f>
        <v>33.293524092364315</v>
      </c>
      <c r="I39">
        <v>84.712000000000003</v>
      </c>
      <c r="J39">
        <v>-0.39200000000000002</v>
      </c>
      <c r="K39">
        <v>35.905000000000001</v>
      </c>
      <c r="L39">
        <f>100*((J39+1.75*I39)/(5.645*I39+J39-3.012*K39)-0.31)/0.172</f>
        <v>52.30898544009672</v>
      </c>
      <c r="M39" s="2">
        <f t="shared" si="0"/>
        <v>19.015461347732405</v>
      </c>
    </row>
    <row r="40" spans="1:13" x14ac:dyDescent="0.25">
      <c r="A40" t="s">
        <v>19</v>
      </c>
      <c r="B40" t="s">
        <v>10</v>
      </c>
      <c r="C40">
        <v>7</v>
      </c>
      <c r="D40">
        <v>1</v>
      </c>
      <c r="E40">
        <v>92.186000000000007</v>
      </c>
      <c r="F40">
        <v>-4.1399999999999997</v>
      </c>
      <c r="G40">
        <v>31.777999999999999</v>
      </c>
      <c r="H40">
        <f>100*((F40+1.75*E40)/(5.645*E40+F40-3.012*G40)-0.31)/0.172</f>
        <v>37.078719496283277</v>
      </c>
      <c r="I40">
        <v>93.436999999999998</v>
      </c>
      <c r="J40">
        <v>-5.375</v>
      </c>
      <c r="K40">
        <v>24.823</v>
      </c>
      <c r="L40">
        <f>100*((J40+1.75*I40)/(5.645*I40+J40-3.012*K40)-0.31)/0.172</f>
        <v>25.311063459040852</v>
      </c>
      <c r="M40" s="2">
        <f t="shared" si="0"/>
        <v>-11.767656037242425</v>
      </c>
    </row>
    <row r="41" spans="1:13" x14ac:dyDescent="0.25">
      <c r="A41" t="s">
        <v>19</v>
      </c>
      <c r="B41" t="s">
        <v>11</v>
      </c>
      <c r="C41">
        <v>1</v>
      </c>
      <c r="D41">
        <v>3</v>
      </c>
      <c r="E41">
        <v>89.302999999999997</v>
      </c>
      <c r="F41">
        <v>-3.218</v>
      </c>
      <c r="G41">
        <v>28.353000000000002</v>
      </c>
      <c r="H41">
        <f>100*((F41+1.75*E41)/(5.645*E41+F41-3.012*G41)-0.31)/0.172</f>
        <v>33.943292554244344</v>
      </c>
      <c r="I41">
        <v>76.704999999999998</v>
      </c>
      <c r="J41">
        <v>4.55</v>
      </c>
      <c r="K41">
        <v>39.56</v>
      </c>
      <c r="L41">
        <f t="shared" ref="L2:L49" si="1">100*((J41+1.75*I41)/(5.645*I41+J41-3.012*K41)-0.31)/0.17</f>
        <v>74.05026464643484</v>
      </c>
      <c r="M41" s="2">
        <f t="shared" si="0"/>
        <v>40.106972092190496</v>
      </c>
    </row>
    <row r="42" spans="1:13" x14ac:dyDescent="0.25">
      <c r="A42" t="s">
        <v>19</v>
      </c>
      <c r="B42" t="s">
        <v>12</v>
      </c>
      <c r="C42">
        <v>8</v>
      </c>
      <c r="D42">
        <v>2</v>
      </c>
      <c r="E42">
        <v>91.710999999999999</v>
      </c>
      <c r="F42">
        <v>-3.996</v>
      </c>
      <c r="G42">
        <v>32.064</v>
      </c>
      <c r="H42">
        <f>100*((F42+1.75*E42)/(5.645*E42+F42-3.012*G42)-0.31)/0.172</f>
        <v>37.891488662042754</v>
      </c>
      <c r="I42">
        <v>90.697999999999993</v>
      </c>
      <c r="J42">
        <v>-4.423</v>
      </c>
      <c r="K42">
        <v>24.779</v>
      </c>
      <c r="L42">
        <f t="shared" si="1"/>
        <v>27.295786134536282</v>
      </c>
      <c r="M42" s="2">
        <f t="shared" si="0"/>
        <v>-10.595702527506472</v>
      </c>
    </row>
    <row r="43" spans="1:13" x14ac:dyDescent="0.25">
      <c r="A43" t="s">
        <v>19</v>
      </c>
      <c r="B43" t="s">
        <v>13</v>
      </c>
      <c r="C43">
        <v>5</v>
      </c>
      <c r="D43">
        <v>6</v>
      </c>
      <c r="E43">
        <v>89.254999999999995</v>
      </c>
      <c r="F43">
        <v>-3.915</v>
      </c>
      <c r="G43">
        <v>30.640999999999998</v>
      </c>
      <c r="H43">
        <f>100*((F43+1.75*E43)/(5.645*E43+F43-3.012*G43)-0.31)/0.172</f>
        <v>36.958774376822603</v>
      </c>
      <c r="I43">
        <v>87.403999999999996</v>
      </c>
      <c r="J43">
        <v>-2.3250000000000002</v>
      </c>
      <c r="K43">
        <v>33.85</v>
      </c>
      <c r="L43">
        <f t="shared" si="1"/>
        <v>45.361744730355653</v>
      </c>
      <c r="M43" s="2">
        <f t="shared" si="0"/>
        <v>8.4029703535330498</v>
      </c>
    </row>
    <row r="44" spans="1:13" x14ac:dyDescent="0.25">
      <c r="A44" t="s">
        <v>20</v>
      </c>
      <c r="B44" t="s">
        <v>8</v>
      </c>
      <c r="C44">
        <v>3</v>
      </c>
      <c r="D44">
        <v>1</v>
      </c>
      <c r="E44">
        <v>89.364999999999995</v>
      </c>
      <c r="F44">
        <v>-4.077</v>
      </c>
      <c r="G44">
        <v>28.581</v>
      </c>
      <c r="H44">
        <f>100*((F44+1.75*E44)/(5.645*E44+F44-3.012*G44)-0.31)/0.172</f>
        <v>33.508254597713929</v>
      </c>
      <c r="I44">
        <v>84.438999999999993</v>
      </c>
      <c r="J44">
        <v>-0.46500000000000002</v>
      </c>
      <c r="K44">
        <v>36.939</v>
      </c>
      <c r="L44">
        <f t="shared" si="1"/>
        <v>55.085156827109181</v>
      </c>
      <c r="M44" s="2">
        <f t="shared" si="0"/>
        <v>21.576902229395252</v>
      </c>
    </row>
    <row r="45" spans="1:13" x14ac:dyDescent="0.25">
      <c r="A45" t="s">
        <v>20</v>
      </c>
      <c r="B45" t="s">
        <v>9</v>
      </c>
      <c r="C45">
        <v>5</v>
      </c>
      <c r="D45">
        <v>4</v>
      </c>
      <c r="E45">
        <v>88.68</v>
      </c>
      <c r="F45">
        <v>-3.4289999999999998</v>
      </c>
      <c r="G45">
        <v>30.236000000000001</v>
      </c>
      <c r="H45">
        <f>100*((F45+1.75*E45)/(5.645*E45+F45-3.012*G45)-0.31)/0.172</f>
        <v>37.037590128641405</v>
      </c>
      <c r="I45">
        <v>88.625</v>
      </c>
      <c r="J45">
        <v>-2.2869999999999999</v>
      </c>
      <c r="K45">
        <v>35.308</v>
      </c>
      <c r="L45">
        <f t="shared" si="1"/>
        <v>47.151811938844929</v>
      </c>
      <c r="M45" s="2">
        <f t="shared" si="0"/>
        <v>10.114221810203524</v>
      </c>
    </row>
    <row r="46" spans="1:13" x14ac:dyDescent="0.25">
      <c r="A46" t="s">
        <v>20</v>
      </c>
      <c r="B46" t="s">
        <v>10</v>
      </c>
      <c r="C46">
        <v>7</v>
      </c>
      <c r="D46">
        <v>6</v>
      </c>
      <c r="E46">
        <v>88.334999999999994</v>
      </c>
      <c r="F46">
        <v>-2.9220000000000002</v>
      </c>
      <c r="G46">
        <v>28.629000000000001</v>
      </c>
      <c r="H46">
        <f>100*((F46+1.75*E46)/(5.645*E46+F46-3.012*G46)-0.31)/0.172</f>
        <v>35.096395986065026</v>
      </c>
      <c r="I46">
        <v>90.284000000000006</v>
      </c>
      <c r="J46">
        <v>-5.7030000000000003</v>
      </c>
      <c r="K46">
        <v>27.454999999999998</v>
      </c>
      <c r="L46">
        <f t="shared" si="1"/>
        <v>30.30816140120583</v>
      </c>
      <c r="M46" s="2">
        <f t="shared" si="0"/>
        <v>-4.7882345848591967</v>
      </c>
    </row>
    <row r="47" spans="1:13" x14ac:dyDescent="0.25">
      <c r="A47" t="s">
        <v>20</v>
      </c>
      <c r="B47" t="s">
        <v>11</v>
      </c>
      <c r="C47">
        <v>8</v>
      </c>
      <c r="D47">
        <v>5</v>
      </c>
      <c r="E47">
        <v>88.965999999999994</v>
      </c>
      <c r="F47">
        <v>-3.4590000000000001</v>
      </c>
      <c r="G47">
        <v>30.294</v>
      </c>
      <c r="H47">
        <f>100*((F47+1.75*E47)/(5.645*E47+F47-3.012*G47)-0.31)/0.172</f>
        <v>36.957210723056569</v>
      </c>
      <c r="I47">
        <v>79.167000000000002</v>
      </c>
      <c r="J47">
        <v>1.3340000000000001</v>
      </c>
      <c r="K47">
        <v>38.656999999999996</v>
      </c>
      <c r="L47">
        <f t="shared" si="1"/>
        <v>65.630581784975476</v>
      </c>
      <c r="M47" s="2">
        <f t="shared" si="0"/>
        <v>28.673371061918907</v>
      </c>
    </row>
    <row r="48" spans="1:13" x14ac:dyDescent="0.25">
      <c r="A48" t="s">
        <v>20</v>
      </c>
      <c r="B48" t="s">
        <v>12</v>
      </c>
      <c r="C48">
        <v>4</v>
      </c>
      <c r="D48">
        <v>3</v>
      </c>
      <c r="E48">
        <v>90.447000000000003</v>
      </c>
      <c r="F48">
        <v>-3.347</v>
      </c>
      <c r="G48">
        <v>31.562999999999999</v>
      </c>
      <c r="H48">
        <f>100*((F48+1.75*E48)/(5.645*E48+F48-3.012*G48)-0.31)/0.172</f>
        <v>38.320791667111351</v>
      </c>
      <c r="I48">
        <v>92.688000000000002</v>
      </c>
      <c r="J48">
        <v>-6.0679999999999996</v>
      </c>
      <c r="K48">
        <v>17.439</v>
      </c>
      <c r="L48">
        <f t="shared" si="1"/>
        <v>15.320059491237661</v>
      </c>
      <c r="M48" s="2">
        <f t="shared" si="0"/>
        <v>-23.00073217587369</v>
      </c>
    </row>
    <row r="49" spans="1:13" x14ac:dyDescent="0.25">
      <c r="A49" t="s">
        <v>20</v>
      </c>
      <c r="B49" t="s">
        <v>13</v>
      </c>
      <c r="C49">
        <v>2</v>
      </c>
      <c r="D49">
        <v>2</v>
      </c>
      <c r="E49">
        <v>90.036000000000001</v>
      </c>
      <c r="F49">
        <v>-3.5939999999999999</v>
      </c>
      <c r="G49">
        <v>28.948</v>
      </c>
      <c r="H49">
        <f>100*((F49+1.75*E49)/(5.645*E49+F49-3.012*G49)-0.31)/0.172</f>
        <v>34.195599026783967</v>
      </c>
      <c r="I49">
        <v>82.953000000000003</v>
      </c>
      <c r="J49">
        <v>-0.216</v>
      </c>
      <c r="K49">
        <v>36.173000000000002</v>
      </c>
      <c r="L49">
        <f>100*((J49+1.75*I49)/(5.645*I49+J49-3.012*K49)-0.31)/0.172</f>
        <v>54.448952121601913</v>
      </c>
      <c r="M49" s="2">
        <f t="shared" si="0"/>
        <v>20.253353094817946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Marc-André Jean</dc:creator>
  <cp:lastModifiedBy>Marc-André Jean</cp:lastModifiedBy>
  <dcterms:created xsi:type="dcterms:W3CDTF">2015-06-05T18:17:20Z</dcterms:created>
  <dcterms:modified xsi:type="dcterms:W3CDTF">2026-08-18T23:24:08Z</dcterms:modified>
</cp:coreProperties>
</file>